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bo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Example formula: each agent's share of the transaction's total commission. Replace with the formula used in the real cleaning (see docs/excel_cleaning.md).</t>
        </r>
      </text>
    </comment>
  </commentList>
</comments>
</file>

<file path=xl/sharedStrings.xml><?xml version="1.0" encoding="utf-8"?>
<sst xmlns="http://schemas.openxmlformats.org/spreadsheetml/2006/main" count="60" uniqueCount="37">
  <si>
    <t xml:space="preserve">No Mls</t>
  </si>
  <si>
    <t xml:space="preserve">No de contrat</t>
  </si>
  <si>
    <t xml:space="preserve">Nom de rue</t>
  </si>
  <si>
    <t xml:space="preserve">Ville</t>
  </si>
  <si>
    <t xml:space="preserve">Province/État</t>
  </si>
  <si>
    <t xml:space="preserve">Code postal</t>
  </si>
  <si>
    <t xml:space="preserve">Courtier_Nom</t>
  </si>
  <si>
    <t xml:space="preserve">Courtier_Bureau</t>
  </si>
  <si>
    <t xml:space="preserve">Courtier_Titre</t>
  </si>
  <si>
    <t xml:space="preserve">Date d'acceptation</t>
  </si>
  <si>
    <t xml:space="preserve">Date notariée</t>
  </si>
  <si>
    <t xml:space="preserve">Prix vendu</t>
  </si>
  <si>
    <t xml:space="preserve">Rétribution</t>
  </si>
  <si>
    <t xml:space="preserve">Commission_percentage</t>
  </si>
  <si>
    <t xml:space="preserve">Types</t>
  </si>
  <si>
    <t xml:space="preserve">123 Rue Exemple</t>
  </si>
  <si>
    <t xml:space="preserve">Montréal</t>
  </si>
  <si>
    <t xml:space="preserve">Quebec</t>
  </si>
  <si>
    <t xml:space="preserve">A1A 1A1</t>
  </si>
  <si>
    <t xml:space="preserve">Agent Alpha</t>
  </si>
  <si>
    <t xml:space="preserve">Example Realty Downtown</t>
  </si>
  <si>
    <t xml:space="preserve">Inscripteur</t>
  </si>
  <si>
    <t xml:space="preserve">Residential</t>
  </si>
  <si>
    <t xml:space="preserve">Agent Bravo</t>
  </si>
  <si>
    <t xml:space="preserve">Example Realty North Shore</t>
  </si>
  <si>
    <t xml:space="preserve">Collaborateur</t>
  </si>
  <si>
    <t xml:space="preserve">45 Avenue Modèle</t>
  </si>
  <si>
    <t xml:space="preserve">Laval</t>
  </si>
  <si>
    <t xml:space="preserve">A2A 2A2</t>
  </si>
  <si>
    <t xml:space="preserve">Agent Charlie</t>
  </si>
  <si>
    <t xml:space="preserve">Agent Delta</t>
  </si>
  <si>
    <t xml:space="preserve">Agent Echo</t>
  </si>
  <si>
    <t xml:space="preserve">Cleaned sample for stage 3 (deal-bot): every name, address and number here is invented</t>
  </si>
  <si>
    <t xml:space="preserve">Format of the spreadsheet the deal-bot reads after the Excel cleaning stage. One row per agent; rows sharing an MLS number form one deal.</t>
  </si>
  <si>
    <t xml:space="preserve">Columns A-M and O are typed values. Column N (Commission_percentage) is a formula; the deal-bot skips any deal whose shares don't total 100%.</t>
  </si>
  <si>
    <t xml:space="preserve">Courtier_Titre: 'Inscripteur' = listing (seller-side) advisor, 'Collaborateur' = buyer-side advisor.</t>
  </si>
  <si>
    <t xml:space="preserve">To try the deal-bot's loading step: set EXCEL_PATH in .env to this file (see README).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</si>
</sst>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\$#,##0"/>
    <numFmt numFmtId="167" formatCode="\$#,##0.00"/>
    <numFmt numFmtId="168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9"/>
    <col collapsed="false" customWidth="true" hidden="false" outlineLevel="0" max="9" min="9" style="0" width="18"/>
    <col collapsed="false" customWidth="true" hidden="false" outlineLevel="0" max="10" min="10" style="0" width="22"/>
    <col collapsed="false" customWidth="true" hidden="false" outlineLevel="0" max="11" min="11" style="0" width="17"/>
    <col collapsed="false" customWidth="true" hidden="false" outlineLevel="0" max="12" min="12" style="0" width="14"/>
    <col collapsed="false" customWidth="true" hidden="false" outlineLevel="0" max="13" min="13" style="0" width="15"/>
    <col collapsed="false" customWidth="true" hidden="false" outlineLevel="0" max="14" min="14" style="0" width="25"/>
    <col collapsed="false" customWidth="true" hidden="false" outlineLevel="0" max="15" min="1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10000001</v>
      </c>
      <c r="B2" s="2" t="n">
        <v>90001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n">
        <v>46027</v>
      </c>
      <c r="K2" s="3" t="n">
        <v>46083</v>
      </c>
      <c r="L2" s="4" t="n">
        <v>500000</v>
      </c>
      <c r="M2" s="5" t="n">
        <v>10000</v>
      </c>
      <c r="N2" s="6" t="n">
        <f aca="false">IFERROR(M2/SUMIFS($M$2:$M$6,$A$2:$A$6,A2),0)</f>
        <v>0.5</v>
      </c>
      <c r="O2" s="2" t="s">
        <v>22</v>
      </c>
    </row>
    <row r="3" customFormat="false" ht="15" hidden="false" customHeight="false" outlineLevel="0" collapsed="false">
      <c r="A3" s="2" t="n">
        <v>10000001</v>
      </c>
      <c r="B3" s="2" t="n">
        <v>90001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23</v>
      </c>
      <c r="H3" s="2" t="s">
        <v>24</v>
      </c>
      <c r="I3" s="2" t="s">
        <v>25</v>
      </c>
      <c r="J3" s="3" t="n">
        <v>46027</v>
      </c>
      <c r="K3" s="3" t="n">
        <v>46083</v>
      </c>
      <c r="L3" s="4" t="n">
        <v>500000</v>
      </c>
      <c r="M3" s="5" t="n">
        <v>10000</v>
      </c>
      <c r="N3" s="6" t="n">
        <f aca="false">IFERROR(M3/SUMIFS($M$2:$M$6,$A$2:$A$6,A3),0)</f>
        <v>0.5</v>
      </c>
      <c r="O3" s="2" t="s">
        <v>22</v>
      </c>
    </row>
    <row r="4" customFormat="false" ht="15" hidden="false" customHeight="false" outlineLevel="0" collapsed="false">
      <c r="A4" s="2" t="n">
        <v>10000002</v>
      </c>
      <c r="B4" s="2" t="n">
        <v>90002</v>
      </c>
      <c r="C4" s="2" t="s">
        <v>26</v>
      </c>
      <c r="D4" s="2" t="s">
        <v>27</v>
      </c>
      <c r="E4" s="2" t="s">
        <v>17</v>
      </c>
      <c r="F4" s="2" t="s">
        <v>28</v>
      </c>
      <c r="G4" s="2" t="s">
        <v>29</v>
      </c>
      <c r="H4" s="2" t="s">
        <v>20</v>
      </c>
      <c r="I4" s="2" t="s">
        <v>21</v>
      </c>
      <c r="J4" s="3" t="n">
        <v>46034</v>
      </c>
      <c r="K4" s="3" t="n">
        <v>46097</v>
      </c>
      <c r="L4" s="4" t="n">
        <v>600000</v>
      </c>
      <c r="M4" s="5" t="n">
        <v>6000</v>
      </c>
      <c r="N4" s="6" t="n">
        <f aca="false">IFERROR(M4/SUMIFS($M$2:$M$6,$A$2:$A$6,A4),0)</f>
        <v>0.25</v>
      </c>
      <c r="O4" s="2" t="s">
        <v>22</v>
      </c>
    </row>
    <row r="5" customFormat="false" ht="15" hidden="false" customHeight="false" outlineLevel="0" collapsed="false">
      <c r="A5" s="2" t="n">
        <v>10000002</v>
      </c>
      <c r="B5" s="2" t="n">
        <v>90002</v>
      </c>
      <c r="C5" s="2" t="s">
        <v>26</v>
      </c>
      <c r="D5" s="2" t="s">
        <v>27</v>
      </c>
      <c r="E5" s="2" t="s">
        <v>17</v>
      </c>
      <c r="F5" s="2" t="s">
        <v>28</v>
      </c>
      <c r="G5" s="2" t="s">
        <v>30</v>
      </c>
      <c r="H5" s="2" t="s">
        <v>20</v>
      </c>
      <c r="I5" s="2" t="s">
        <v>21</v>
      </c>
      <c r="J5" s="3" t="n">
        <v>46034</v>
      </c>
      <c r="K5" s="3" t="n">
        <v>46097</v>
      </c>
      <c r="L5" s="4" t="n">
        <v>600000</v>
      </c>
      <c r="M5" s="5" t="n">
        <v>6000</v>
      </c>
      <c r="N5" s="6" t="n">
        <f aca="false">IFERROR(M5/SUMIFS($M$2:$M$6,$A$2:$A$6,A5),0)</f>
        <v>0.25</v>
      </c>
      <c r="O5" s="2" t="s">
        <v>22</v>
      </c>
    </row>
    <row r="6" customFormat="false" ht="15" hidden="false" customHeight="false" outlineLevel="0" collapsed="false">
      <c r="A6" s="2" t="n">
        <v>10000002</v>
      </c>
      <c r="B6" s="2" t="n">
        <v>90002</v>
      </c>
      <c r="C6" s="2" t="s">
        <v>26</v>
      </c>
      <c r="D6" s="2" t="s">
        <v>27</v>
      </c>
      <c r="E6" s="2" t="s">
        <v>17</v>
      </c>
      <c r="F6" s="2" t="s">
        <v>28</v>
      </c>
      <c r="G6" s="2" t="s">
        <v>31</v>
      </c>
      <c r="H6" s="2" t="s">
        <v>24</v>
      </c>
      <c r="I6" s="2" t="s">
        <v>25</v>
      </c>
      <c r="J6" s="3" t="n">
        <v>46034</v>
      </c>
      <c r="K6" s="3" t="n">
        <v>46097</v>
      </c>
      <c r="L6" s="4" t="n">
        <v>600000</v>
      </c>
      <c r="M6" s="5" t="n">
        <v>12000</v>
      </c>
      <c r="N6" s="6" t="n">
        <f aca="false">IFERROR(M6/SUMIFS($M$2:$M$6,$A$2:$A$6,A6),0)</f>
        <v>0.5</v>
      </c>
      <c r="O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2" t="s">
        <v>34</v>
      </c>
    </row>
    <row r="4" customFormat="false" ht="15" hidden="false" customHeight="false" outlineLevel="0" collapsed="false">
      <c r="A4" s="2" t="s">
        <v>35</v>
      </c>
    </row>
    <row r="5" customFormat="false" ht="15" hidden="false" customHeight="false" outlineLevel="0" collapsed="false">
      <c r="A5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2026-10-08T12:46:36Z</dcterms:created>
  <dc:creator>openpyxl</dc:creator>
  <dc:description/>
  <dc:language>en-US</dc:language>
  <cp:lastModifiedBy/>
  <dcterms:modified xsi:type="dcterms:W3CDTF">2026-10-08T12:46:36Z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